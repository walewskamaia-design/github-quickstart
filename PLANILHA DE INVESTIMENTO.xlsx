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ALEWSKA\EXCEL\"/>
    </mc:Choice>
  </mc:AlternateContent>
  <xr:revisionPtr revIDLastSave="0" documentId="13_ncr:1_{BF05091F-504B-4605-B8B9-3787EB648435}" xr6:coauthVersionLast="47" xr6:coauthVersionMax="47" xr10:uidLastSave="{00000000-0000-0000-0000-000000000000}"/>
  <bookViews>
    <workbookView xWindow="-120" yWindow="-120" windowWidth="20730" windowHeight="11160" tabRatio="0" xr2:uid="{F86BD514-D38E-4986-B263-8708FFD2EBFC}"/>
  </bookViews>
  <sheets>
    <sheet name="Planilha1" sheetId="1" r:id="rId1"/>
    <sheet name="Planilha2" sheetId="2" r:id="rId2"/>
  </sheets>
  <definedNames>
    <definedName name="RENDIMENTO_CARTEIRA">Planilha1!$C$12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3" i="1"/>
  <c r="H4" i="2"/>
  <c r="A10" i="2"/>
  <c r="A9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0" i="1"/>
  <c r="C13" i="1"/>
  <c r="C24" i="1"/>
  <c r="D24" i="1" s="1"/>
  <c r="C25" i="1"/>
  <c r="D25" i="1" s="1"/>
  <c r="C26" i="1"/>
  <c r="D26" i="1" s="1"/>
  <c r="C27" i="1"/>
  <c r="D27" i="1" s="1"/>
  <c r="C23" i="1"/>
  <c r="D23" i="1" s="1"/>
  <c r="C19" i="1"/>
  <c r="C20" i="1" s="1"/>
  <c r="D37" i="1" l="1"/>
  <c r="D35" i="1"/>
  <c r="D36" i="1"/>
  <c r="D34" i="1"/>
  <c r="D33" i="1"/>
  <c r="D38" i="1"/>
  <c r="D39" i="1" l="1"/>
</calcChain>
</file>

<file path=xl/sharedStrings.xml><?xml version="1.0" encoding="utf-8"?>
<sst xmlns="http://schemas.openxmlformats.org/spreadsheetml/2006/main" count="71" uniqueCount="34">
  <si>
    <t>Quanto devo investir por mês?</t>
  </si>
  <si>
    <t>Quantos anos investir?</t>
  </si>
  <si>
    <t>Taxa de rendimento mensal?</t>
  </si>
  <si>
    <t>Quanto de patrimonio acumulado terei?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</si>
  <si>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</si>
  <si>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</si>
  <si>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</si>
  <si>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</si>
  <si>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</si>
  <si>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</si>
  <si>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</si>
  <si>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CONFIGURAÇÕES</t>
  </si>
  <si>
    <t>Rendimento de Carteira</t>
  </si>
  <si>
    <t>Salário</t>
  </si>
  <si>
    <t>Sugestão de Investimento</t>
  </si>
  <si>
    <t>CENÁRIO</t>
  </si>
  <si>
    <t>DIVIDENDOS</t>
  </si>
  <si>
    <t>PERFIL</t>
  </si>
  <si>
    <t>AGRESSIVO</t>
  </si>
  <si>
    <t>CONSERVADOR</t>
  </si>
  <si>
    <t>MODERADO</t>
  </si>
  <si>
    <t xml:space="preserve">VALOR A SER INVESTIDO POR MÊS 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</si>
  <si>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</si>
  <si>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</si>
  <si>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</si>
  <si>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</si>
  <si>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</si>
  <si>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</si>
  <si>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</si>
  <si>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</si>
  <si>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 xml:space="preserve">HOTELARIA </t>
  </si>
  <si>
    <t>%</t>
  </si>
  <si>
    <t xml:space="preserve">CHAVE 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</si>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</sst>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indexed="64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3" fillId="0" borderId="0" xfId="0" applyFont="1"/>
    <xf numFmtId="1" fontId="0" fillId="0" borderId="5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6" fillId="7" borderId="23" xfId="0" applyFont="1" applyFill="1" applyBorder="1" applyAlignment="1">
      <alignment vertical="center"/>
    </xf>
    <xf numFmtId="0" fontId="6" fillId="7" borderId="24" xfId="0" applyFont="1" applyFill="1" applyBorder="1" applyAlignment="1">
      <alignment vertical="center"/>
    </xf>
    <xf numFmtId="0" fontId="0" fillId="0" borderId="9" xfId="0" applyFont="1" applyBorder="1" applyAlignment="1"/>
    <xf numFmtId="167" fontId="0" fillId="0" borderId="10" xfId="0" applyNumberFormat="1" applyFont="1" applyBorder="1" applyAlignment="1"/>
    <xf numFmtId="0" fontId="0" fillId="0" borderId="11" xfId="0" applyFont="1" applyBorder="1" applyAlignment="1"/>
    <xf numFmtId="10" fontId="0" fillId="0" borderId="12" xfId="0" applyNumberFormat="1" applyFont="1" applyBorder="1" applyAlignment="1"/>
    <xf numFmtId="0" fontId="0" fillId="0" borderId="13" xfId="0" applyFont="1" applyBorder="1" applyAlignment="1"/>
    <xf numFmtId="167" fontId="0" fillId="0" borderId="14" xfId="0" applyNumberFormat="1" applyFont="1" applyBorder="1" applyAlignment="1"/>
    <xf numFmtId="0" fontId="0" fillId="4" borderId="0" xfId="0" applyFill="1" applyAlignment="1"/>
    <xf numFmtId="0" fontId="4" fillId="3" borderId="1" xfId="0" applyFont="1" applyFill="1" applyBorder="1" applyAlignment="1">
      <alignment vertical="center"/>
    </xf>
    <xf numFmtId="0" fontId="0" fillId="3" borderId="2" xfId="0" applyFill="1" applyBorder="1" applyAlignment="1"/>
    <xf numFmtId="0" fontId="0" fillId="0" borderId="4" xfId="0" applyFont="1" applyBorder="1" applyAlignment="1"/>
    <xf numFmtId="167" fontId="0" fillId="0" borderId="5" xfId="0" applyNumberFormat="1" applyFont="1" applyBorder="1" applyAlignment="1"/>
    <xf numFmtId="10" fontId="0" fillId="0" borderId="5" xfId="0" applyNumberFormat="1" applyFont="1" applyBorder="1" applyAlignment="1"/>
    <xf numFmtId="0" fontId="3" fillId="5" borderId="4" xfId="0" applyFont="1" applyFill="1" applyBorder="1" applyAlignment="1"/>
    <xf numFmtId="167" fontId="0" fillId="5" borderId="5" xfId="0" applyNumberFormat="1" applyFont="1" applyFill="1" applyBorder="1" applyAlignment="1"/>
    <xf numFmtId="0" fontId="3" fillId="5" borderId="6" xfId="0" applyFont="1" applyFill="1" applyBorder="1" applyAlignment="1"/>
    <xf numFmtId="167" fontId="0" fillId="5" borderId="7" xfId="0" applyNumberFormat="1" applyFont="1" applyFill="1" applyBorder="1" applyAlignment="1"/>
    <xf numFmtId="0" fontId="3" fillId="0" borderId="0" xfId="0" applyFont="1" applyAlignment="1"/>
    <xf numFmtId="0" fontId="4" fillId="3" borderId="2" xfId="0" applyFont="1" applyFill="1" applyBorder="1" applyAlignment="1">
      <alignment vertical="center"/>
    </xf>
    <xf numFmtId="0" fontId="5" fillId="4" borderId="0" xfId="0" applyFont="1" applyFill="1" applyAlignment="1"/>
    <xf numFmtId="0" fontId="0" fillId="6" borderId="15" xfId="0" applyFont="1" applyFill="1" applyBorder="1" applyAlignment="1"/>
    <xf numFmtId="167" fontId="0" fillId="6" borderId="16" xfId="1" applyNumberFormat="1" applyFont="1" applyFill="1" applyBorder="1" applyAlignment="1"/>
    <xf numFmtId="167" fontId="0" fillId="6" borderId="17" xfId="0" applyNumberFormat="1" applyFont="1" applyFill="1" applyBorder="1" applyAlignment="1"/>
    <xf numFmtId="0" fontId="0" fillId="6" borderId="18" xfId="0" applyFont="1" applyFill="1" applyBorder="1" applyAlignment="1"/>
    <xf numFmtId="167" fontId="0" fillId="6" borderId="8" xfId="1" applyNumberFormat="1" applyFont="1" applyFill="1" applyBorder="1" applyAlignment="1"/>
    <xf numFmtId="167" fontId="0" fillId="6" borderId="19" xfId="0" applyNumberFormat="1" applyFont="1" applyFill="1" applyBorder="1" applyAlignment="1"/>
    <xf numFmtId="0" fontId="0" fillId="6" borderId="20" xfId="0" applyFont="1" applyFill="1" applyBorder="1" applyAlignment="1"/>
    <xf numFmtId="167" fontId="0" fillId="6" borderId="21" xfId="1" applyNumberFormat="1" applyFont="1" applyFill="1" applyBorder="1" applyAlignment="1"/>
    <xf numFmtId="167" fontId="0" fillId="6" borderId="22" xfId="0" applyNumberFormat="1" applyFont="1" applyFill="1" applyBorder="1" applyAlignment="1"/>
    <xf numFmtId="0" fontId="4" fillId="3" borderId="2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2" fillId="2" borderId="0" xfId="2" applyAlignment="1"/>
    <xf numFmtId="0" fontId="0" fillId="5" borderId="0" xfId="0" applyFill="1" applyAlignment="1"/>
    <xf numFmtId="0" fontId="3" fillId="5" borderId="0" xfId="0" applyFont="1" applyFill="1" applyAlignment="1"/>
    <xf numFmtId="167" fontId="3" fillId="5" borderId="0" xfId="0" applyNumberFormat="1" applyFont="1" applyFill="1" applyAlignment="1">
      <alignment horizontal="center"/>
    </xf>
    <xf numFmtId="0" fontId="2" fillId="2" borderId="0" xfId="2" applyAlignment="1">
      <alignment horizontal="center"/>
    </xf>
    <xf numFmtId="167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/>
    </xf>
    <xf numFmtId="0" fontId="3" fillId="8" borderId="0" xfId="0" applyFont="1" applyFill="1"/>
    <xf numFmtId="0" fontId="3" fillId="8" borderId="0" xfId="0" applyFont="1" applyFill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0" fontId="2" fillId="2" borderId="0" xfId="2"/>
    <xf numFmtId="10" fontId="2" fillId="2" borderId="0" xfId="2" applyNumberFormat="1"/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 </c:v>
                </c:pt>
              </c:strCache>
            </c:strRef>
          </c:cat>
          <c:val>
            <c:numRef>
              <c:f>Planilha1!$C$33:$C$38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C-4072-9818-CEFFAD94B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95250</xdr:rowOff>
    </xdr:from>
    <xdr:to>
      <xdr:col>3</xdr:col>
      <xdr:colOff>161924</xdr:colOff>
      <xdr:row>7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58395F-D857-4C1A-A288-9CEC67086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0" y="95250"/>
          <a:ext cx="5791199" cy="1352550"/>
        </a:xfrm>
        <a:prstGeom prst="rect">
          <a:avLst/>
        </a:prstGeom>
      </xdr:spPr>
    </xdr:pic>
    <xdr:clientData/>
  </xdr:twoCellAnchor>
  <xdr:twoCellAnchor>
    <xdr:from>
      <xdr:col>1</xdr:col>
      <xdr:colOff>1238250</xdr:colOff>
      <xdr:row>40</xdr:row>
      <xdr:rowOff>133350</xdr:rowOff>
    </xdr:from>
    <xdr:to>
      <xdr:col>3</xdr:col>
      <xdr:colOff>381000</xdr:colOff>
      <xdr:row>55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BF86142-23D1-A655-5493-F4378AC8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DC7A-3DD3-4248-A611-0A8BC4A479AA}">
  <dimension ref="A9:F39"/>
  <sheetViews>
    <sheetView showGridLines="0" showRowColHeaders="0" tabSelected="1" topLeftCell="A31" workbookViewId="0">
      <selection activeCell="D52" sqref="D52"/>
    </sheetView>
  </sheetViews>
  <sheetFormatPr defaultColWidth="0" defaultRowHeight="15" x14ac:dyDescent="0.25"/>
  <cols>
    <col min="1" max="1" width="3" style="4" bestFit="1" customWidth="1"/>
    <col min="2" max="2" width="47.5703125" style="4" bestFit="1" customWidth="1"/>
    <col min="3" max="3" width="33.85546875" style="4" bestFit="1" customWidth="1"/>
    <col min="4" max="4" width="17.28515625" style="4" customWidth="1"/>
    <col min="5" max="5" width="13.140625" style="4" customWidth="1"/>
    <col min="6" max="6" width="19.5703125" hidden="1" customWidth="1"/>
    <col min="7" max="11" width="9.140625" hidden="1" customWidth="1"/>
    <col min="12" max="16384" width="9.140625" hidden="1"/>
  </cols>
  <sheetData>
    <row r="9" spans="2:3" ht="15.75" thickBot="1" x14ac:dyDescent="0.3"/>
    <row r="10" spans="2:3" ht="19.5" thickBot="1" x14ac:dyDescent="0.3">
      <c r="B10" s="5" t="s">
        <v>11</v>
      </c>
      <c r="C10" s="6"/>
    </row>
    <row r="11" spans="2:3" ht="15.75" thickBot="1" x14ac:dyDescent="0.3">
      <c r="B11" s="7" t="s">
        <v>13</v>
      </c>
      <c r="C11" s="8">
        <v>4500</v>
      </c>
    </row>
    <row r="12" spans="2:3" ht="15.75" thickBot="1" x14ac:dyDescent="0.3">
      <c r="B12" s="9" t="s">
        <v>12</v>
      </c>
      <c r="C12" s="10">
        <v>6.0000000000000001E-3</v>
      </c>
    </row>
    <row r="13" spans="2:3" ht="15.75" thickBot="1" x14ac:dyDescent="0.3">
      <c r="B13" s="11" t="s">
        <v>14</v>
      </c>
      <c r="C13" s="12">
        <f>C11*30%</f>
        <v>1350</v>
      </c>
    </row>
    <row r="14" spans="2:3" ht="15.75" thickBot="1" x14ac:dyDescent="0.3">
      <c r="B14" s="13"/>
      <c r="C14" s="13"/>
    </row>
    <row r="15" spans="2:3" ht="33" customHeight="1" x14ac:dyDescent="0.25">
      <c r="B15" s="14" t="s">
        <v>5</v>
      </c>
      <c r="C15" s="15"/>
    </row>
    <row r="16" spans="2:3" x14ac:dyDescent="0.25">
      <c r="B16" s="16" t="s">
        <v>0</v>
      </c>
      <c r="C16" s="17">
        <v>500</v>
      </c>
    </row>
    <row r="17" spans="1:6" x14ac:dyDescent="0.25">
      <c r="B17" s="16" t="s">
        <v>1</v>
      </c>
      <c r="C17" s="2">
        <v>5</v>
      </c>
    </row>
    <row r="18" spans="1:6" x14ac:dyDescent="0.25">
      <c r="B18" s="16" t="s">
        <v>2</v>
      </c>
      <c r="C18" s="18">
        <v>1.0789999999999999E-2</v>
      </c>
    </row>
    <row r="19" spans="1:6" x14ac:dyDescent="0.25">
      <c r="B19" s="19" t="s">
        <v>3</v>
      </c>
      <c r="C19" s="20">
        <f>FV(C18,C17*12,C16*-1)</f>
        <v>41888.456999243819</v>
      </c>
    </row>
    <row r="20" spans="1:6" ht="15.75" thickBot="1" x14ac:dyDescent="0.3">
      <c r="B20" s="21" t="s">
        <v>4</v>
      </c>
      <c r="C20" s="22">
        <f>C19*RENDIMENTO_CARTEIRA</f>
        <v>251.33074199546292</v>
      </c>
    </row>
    <row r="21" spans="1:6" ht="15.75" thickBot="1" x14ac:dyDescent="0.3">
      <c r="B21" s="23"/>
    </row>
    <row r="22" spans="1:6" ht="21.75" thickBot="1" x14ac:dyDescent="0.3">
      <c r="B22" s="35" t="s">
        <v>15</v>
      </c>
      <c r="C22" s="36"/>
      <c r="D22" s="24" t="s">
        <v>16</v>
      </c>
      <c r="F22" s="3"/>
    </row>
    <row r="23" spans="1:6" ht="15.75" thickBot="1" x14ac:dyDescent="0.3">
      <c r="A23" s="25">
        <v>2</v>
      </c>
      <c r="B23" s="26" t="s">
        <v>6</v>
      </c>
      <c r="C23" s="27">
        <f>FV($C$18,$A23*12,$C$16*-1)</f>
        <v>13613.813648822608</v>
      </c>
      <c r="D23" s="28">
        <f>C23*RENDIMENTO_CARTEIRA</f>
        <v>81.682881892935654</v>
      </c>
    </row>
    <row r="24" spans="1:6" ht="15.75" thickBot="1" x14ac:dyDescent="0.3">
      <c r="A24" s="25">
        <v>5</v>
      </c>
      <c r="B24" s="29" t="s">
        <v>7</v>
      </c>
      <c r="C24" s="30">
        <f>FV($C$18,$A24*12,$C$16*-1)</f>
        <v>41888.456999243819</v>
      </c>
      <c r="D24" s="31">
        <f>C24*RENDIMENTO_CARTEIRA</f>
        <v>251.33074199546292</v>
      </c>
    </row>
    <row r="25" spans="1:6" ht="15.75" thickBot="1" x14ac:dyDescent="0.3">
      <c r="A25" s="25">
        <v>10</v>
      </c>
      <c r="B25" s="29" t="s">
        <v>8</v>
      </c>
      <c r="C25" s="30">
        <f>FV($C$18,$A25*12,$C$16*-1)</f>
        <v>121642.1062650861</v>
      </c>
      <c r="D25" s="31">
        <f>C25*RENDIMENTO_CARTEIRA</f>
        <v>729.85263759051657</v>
      </c>
    </row>
    <row r="26" spans="1:6" ht="15.75" thickBot="1" x14ac:dyDescent="0.3">
      <c r="A26" s="25">
        <v>20</v>
      </c>
      <c r="B26" s="29" t="s">
        <v>9</v>
      </c>
      <c r="C26" s="30">
        <f>FV($C$18,$A26*12,$C$16*-1)</f>
        <v>562599.20004854025</v>
      </c>
      <c r="D26" s="31">
        <f>C26*RENDIMENTO_CARTEIRA</f>
        <v>3375.5952002912418</v>
      </c>
    </row>
    <row r="27" spans="1:6" ht="15.75" thickBot="1" x14ac:dyDescent="0.3">
      <c r="A27" s="25">
        <v>30</v>
      </c>
      <c r="B27" s="32" t="s">
        <v>10</v>
      </c>
      <c r="C27" s="33">
        <f>FV($C$18,$A27*12,$C$16*-1)</f>
        <v>2161084.8275023573</v>
      </c>
      <c r="D27" s="34">
        <f>C27*RENDIMENTO_CARTEIRA</f>
        <v>12966.508965014144</v>
      </c>
    </row>
    <row r="29" spans="1:6" x14ac:dyDescent="0.25">
      <c r="B29" s="37" t="s">
        <v>17</v>
      </c>
      <c r="C29" s="41" t="s">
        <v>18</v>
      </c>
      <c r="D29" s="37"/>
    </row>
    <row r="30" spans="1:6" x14ac:dyDescent="0.25">
      <c r="B30" s="39" t="s">
        <v>21</v>
      </c>
      <c r="C30" s="40">
        <f>C16</f>
        <v>500</v>
      </c>
      <c r="D30" s="38"/>
    </row>
    <row r="32" spans="1:6" x14ac:dyDescent="0.25">
      <c r="B32" s="44" t="s">
        <v>22</v>
      </c>
      <c r="C32" s="44" t="s">
        <v>23</v>
      </c>
      <c r="D32" s="44" t="s">
        <v>24</v>
      </c>
    </row>
    <row r="33" spans="2:4" x14ac:dyDescent="0.25">
      <c r="B33" s="3" t="s">
        <v>25</v>
      </c>
      <c r="C33" s="43">
        <f>VLOOKUP($C$29&amp;"-"&amp;B33,Planilha2!$A:$D,4,FALSE)</f>
        <v>0.3</v>
      </c>
      <c r="D33" s="42">
        <f>C33*$C$30</f>
        <v>150</v>
      </c>
    </row>
    <row r="34" spans="2:4" x14ac:dyDescent="0.25">
      <c r="B34" s="3" t="s">
        <v>26</v>
      </c>
      <c r="C34" s="43">
        <f>VLOOKUP($C$29&amp;"-"&amp;B34,Planilha2!$A:$D,4,FALSE)</f>
        <v>0.5</v>
      </c>
      <c r="D34" s="42">
        <f t="shared" ref="D34:D38" si="0">C34*$C$30</f>
        <v>250</v>
      </c>
    </row>
    <row r="35" spans="2:4" x14ac:dyDescent="0.25">
      <c r="B35" s="3" t="s">
        <v>27</v>
      </c>
      <c r="C35" s="43">
        <f>VLOOKUP($C$29&amp;"-"&amp;B35,Planilha2!$A:$D,4,FALSE)</f>
        <v>0.1</v>
      </c>
      <c r="D35" s="42">
        <f t="shared" si="0"/>
        <v>50</v>
      </c>
    </row>
    <row r="36" spans="2:4" x14ac:dyDescent="0.25">
      <c r="B36" s="3" t="s">
        <v>28</v>
      </c>
      <c r="C36" s="43">
        <f>VLOOKUP($C$29&amp;"-"&amp;B36,Planilha2!$A:$D,4,FALSE)</f>
        <v>0.1</v>
      </c>
      <c r="D36" s="42">
        <f t="shared" si="0"/>
        <v>50</v>
      </c>
    </row>
    <row r="37" spans="2:4" x14ac:dyDescent="0.25">
      <c r="B37" s="3" t="s">
        <v>29</v>
      </c>
      <c r="C37" s="43">
        <f>VLOOKUP($C$29&amp;"-"&amp;B37,Planilha2!$A:$D,4,FALSE)</f>
        <v>0</v>
      </c>
      <c r="D37" s="42">
        <f t="shared" si="0"/>
        <v>0</v>
      </c>
    </row>
    <row r="38" spans="2:4" x14ac:dyDescent="0.25">
      <c r="B38" s="3" t="s">
        <v>30</v>
      </c>
      <c r="C38" s="43">
        <f>VLOOKUP($C$29&amp;"-"&amp;B38,Planilha2!$A:$D,4,FALSE)</f>
        <v>0</v>
      </c>
      <c r="D38" s="42">
        <f t="shared" si="0"/>
        <v>0</v>
      </c>
    </row>
    <row r="39" spans="2:4" x14ac:dyDescent="0.25">
      <c r="B39" s="38"/>
      <c r="C39" s="38"/>
      <c r="D39" s="40">
        <f>SUM(D33:D38)</f>
        <v>500</v>
      </c>
    </row>
  </sheetData>
  <mergeCells count="2">
    <mergeCell ref="B22:C22"/>
    <mergeCell ref="B10:C10"/>
  </mergeCells>
  <dataValidations count="1">
    <dataValidation type="list" allowBlank="1" showInputMessage="1" showErrorMessage="1" sqref="C29" xr:uid="{32AC0464-8E6C-4A9B-BBBB-5509613DF81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8830-FF21-406F-AABA-99037AD3C7EA}">
  <dimension ref="A2:H20"/>
  <sheetViews>
    <sheetView workbookViewId="0">
      <selection activeCell="D13" sqref="D13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4" max="4" width="9.140625" style="3"/>
    <col min="7" max="7" width="18.5703125" bestFit="1" customWidth="1"/>
  </cols>
  <sheetData>
    <row r="2" spans="1:8" x14ac:dyDescent="0.25">
      <c r="A2" s="1" t="s">
        <v>32</v>
      </c>
      <c r="B2" s="45" t="s">
        <v>17</v>
      </c>
      <c r="C2" s="46" t="s">
        <v>22</v>
      </c>
      <c r="D2" s="46" t="s">
        <v>31</v>
      </c>
    </row>
    <row r="3" spans="1:8" x14ac:dyDescent="0.25">
      <c r="A3" t="str">
        <f>B3&amp;"-"&amp;C3</f>
        <v>AGRESSIVO-PAPEL</v>
      </c>
      <c r="B3" t="s">
        <v>18</v>
      </c>
      <c r="C3" s="3" t="s">
        <v>25</v>
      </c>
      <c r="D3" s="43">
        <v>0.3</v>
      </c>
      <c r="H3" t="s">
        <v>31</v>
      </c>
    </row>
    <row r="4" spans="1:8" x14ac:dyDescent="0.25">
      <c r="A4" t="str">
        <f t="shared" ref="A4:A20" si="0">B4&amp;"-"&amp;C4</f>
        <v>AGRESSIVO-TIJOLO</v>
      </c>
      <c r="B4" t="s">
        <v>18</v>
      </c>
      <c r="C4" s="3" t="s">
        <v>26</v>
      </c>
      <c r="D4" s="43">
        <v>0.5</v>
      </c>
      <c r="G4" s="50" t="s">
        <v>33</v>
      </c>
      <c r="H4" s="51">
        <f>VLOOKUP(G4,$A:$D,4,FALSE)</f>
        <v>0.35</v>
      </c>
    </row>
    <row r="5" spans="1:8" x14ac:dyDescent="0.25">
      <c r="A5" t="str">
        <f t="shared" si="0"/>
        <v>AGRESSIVO-HIBRIDOS</v>
      </c>
      <c r="B5" t="s">
        <v>18</v>
      </c>
      <c r="C5" s="3" t="s">
        <v>27</v>
      </c>
      <c r="D5" s="43">
        <v>0.1</v>
      </c>
    </row>
    <row r="6" spans="1:8" x14ac:dyDescent="0.25">
      <c r="A6" t="str">
        <f t="shared" si="0"/>
        <v>AGRESSIVO-FOFs</v>
      </c>
      <c r="B6" t="s">
        <v>18</v>
      </c>
      <c r="C6" s="3" t="s">
        <v>28</v>
      </c>
      <c r="D6" s="43">
        <v>0.1</v>
      </c>
    </row>
    <row r="7" spans="1:8" x14ac:dyDescent="0.25">
      <c r="A7" t="str">
        <f t="shared" si="0"/>
        <v>AGRESSIVO-DESENVOLVIMENTO</v>
      </c>
      <c r="B7" t="s">
        <v>18</v>
      </c>
      <c r="C7" s="3" t="s">
        <v>29</v>
      </c>
      <c r="D7" s="43">
        <v>0</v>
      </c>
    </row>
    <row r="8" spans="1:8" x14ac:dyDescent="0.25">
      <c r="A8" t="str">
        <f t="shared" si="0"/>
        <v xml:space="preserve">AGRESSIVO-HOTELARIA </v>
      </c>
      <c r="B8" t="s">
        <v>18</v>
      </c>
      <c r="C8" s="3" t="s">
        <v>30</v>
      </c>
      <c r="D8" s="43">
        <v>0</v>
      </c>
    </row>
    <row r="9" spans="1:8" x14ac:dyDescent="0.25">
      <c r="A9" s="47" t="str">
        <f t="shared" si="0"/>
        <v>MODERADO-PAPEL</v>
      </c>
      <c r="B9" s="47" t="s">
        <v>20</v>
      </c>
      <c r="C9" s="48" t="s">
        <v>25</v>
      </c>
      <c r="D9" s="49">
        <v>0.32</v>
      </c>
    </row>
    <row r="10" spans="1:8" x14ac:dyDescent="0.25">
      <c r="A10" t="str">
        <f>B10&amp;"-"&amp;C10</f>
        <v>MODERADO-TIJOLO</v>
      </c>
      <c r="B10" t="s">
        <v>20</v>
      </c>
      <c r="C10" s="3" t="s">
        <v>26</v>
      </c>
      <c r="D10" s="43">
        <v>0.35</v>
      </c>
    </row>
    <row r="11" spans="1:8" x14ac:dyDescent="0.25">
      <c r="A11" t="str">
        <f t="shared" si="0"/>
        <v>MODERADO-HIBRIDOS</v>
      </c>
      <c r="B11" t="s">
        <v>20</v>
      </c>
      <c r="C11" s="3" t="s">
        <v>27</v>
      </c>
      <c r="D11" s="43">
        <v>0.08</v>
      </c>
    </row>
    <row r="12" spans="1:8" x14ac:dyDescent="0.25">
      <c r="A12" t="str">
        <f t="shared" si="0"/>
        <v>MODERADO-FOFs</v>
      </c>
      <c r="B12" t="s">
        <v>20</v>
      </c>
      <c r="C12" s="3" t="s">
        <v>28</v>
      </c>
      <c r="D12" s="43">
        <v>0.05</v>
      </c>
    </row>
    <row r="13" spans="1:8" x14ac:dyDescent="0.25">
      <c r="A13" t="str">
        <f t="shared" si="0"/>
        <v>MODERADO-DESENVOLVIMENTO</v>
      </c>
      <c r="B13" t="s">
        <v>20</v>
      </c>
      <c r="C13" s="3" t="s">
        <v>29</v>
      </c>
      <c r="D13" s="43">
        <v>0.1</v>
      </c>
    </row>
    <row r="14" spans="1:8" x14ac:dyDescent="0.25">
      <c r="A14" t="str">
        <f t="shared" si="0"/>
        <v xml:space="preserve">MODERADO-HOTELARIA </v>
      </c>
      <c r="B14" t="s">
        <v>20</v>
      </c>
      <c r="C14" s="3" t="s">
        <v>30</v>
      </c>
      <c r="D14" s="43">
        <v>0.1</v>
      </c>
    </row>
    <row r="15" spans="1:8" x14ac:dyDescent="0.25">
      <c r="A15" s="47" t="str">
        <f t="shared" si="0"/>
        <v>CONSERVADOR-PAPEL</v>
      </c>
      <c r="B15" s="47" t="s">
        <v>19</v>
      </c>
      <c r="C15" s="48" t="s">
        <v>25</v>
      </c>
      <c r="D15" s="49">
        <v>0.5</v>
      </c>
    </row>
    <row r="16" spans="1:8" x14ac:dyDescent="0.25">
      <c r="A16" t="str">
        <f t="shared" si="0"/>
        <v>CONSERVADOR-TIJOLO</v>
      </c>
      <c r="B16" t="s">
        <v>19</v>
      </c>
      <c r="C16" s="3" t="s">
        <v>26</v>
      </c>
      <c r="D16" s="43">
        <v>0.1</v>
      </c>
    </row>
    <row r="17" spans="1:4" x14ac:dyDescent="0.25">
      <c r="A17" t="str">
        <f t="shared" si="0"/>
        <v>CONSERVADOR-HIBRIDOS</v>
      </c>
      <c r="B17" t="s">
        <v>19</v>
      </c>
      <c r="C17" s="3" t="s">
        <v>27</v>
      </c>
      <c r="D17" s="43">
        <v>0.05</v>
      </c>
    </row>
    <row r="18" spans="1:4" x14ac:dyDescent="0.25">
      <c r="A18" t="str">
        <f t="shared" si="0"/>
        <v>CONSERVADOR-FOFs</v>
      </c>
      <c r="B18" t="s">
        <v>19</v>
      </c>
      <c r="C18" s="3" t="s">
        <v>28</v>
      </c>
      <c r="D18" s="43">
        <v>0.05</v>
      </c>
    </row>
    <row r="19" spans="1:4" x14ac:dyDescent="0.25">
      <c r="A19" t="str">
        <f t="shared" si="0"/>
        <v>CONSERVADOR-DESENVOLVIMENTO</v>
      </c>
      <c r="B19" t="s">
        <v>19</v>
      </c>
      <c r="C19" s="3" t="s">
        <v>29</v>
      </c>
      <c r="D19" s="43">
        <v>0.2</v>
      </c>
    </row>
    <row r="20" spans="1:4" x14ac:dyDescent="0.25">
      <c r="A20" t="str">
        <f t="shared" si="0"/>
        <v xml:space="preserve">CONSERVADOR-HOTELARIA </v>
      </c>
      <c r="B20" t="s">
        <v>19</v>
      </c>
      <c r="C20" s="3" t="s">
        <v>30</v>
      </c>
      <c r="D20" s="43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2026-09-25T17:09:34Z</dcterms:created>
  <dcterms:modified xsi:type="dcterms:W3CDTF">2026-09-29T16:32:51Z</dcterms:modified>
</cp:coreProperties>
</file>